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49c668c66a4d1c" /></Relationships>
</file>

<file path=xl/workbook.xml><?xml version="1.0" encoding="utf-8"?>
<x:workbook xmlns:x="http://schemas.openxmlformats.org/spreadsheetml/2006/main">
  <x:sheets>
    <x:sheet xmlns:r="http://schemas.openxmlformats.org/officeDocument/2006/relationships" name="Dashboard" sheetId="1" r:id="Rebc37ebc4bfe4d30"/>
    <x:sheet xmlns:r="http://schemas.openxmlformats.org/officeDocument/2006/relationships" name="Leady_Ochota" sheetId="2" r:id="R2fd39e757ff240a2"/>
    <x:sheet xmlns:r="http://schemas.openxmlformats.org/officeDocument/2006/relationships" name="Drafty_Maili" sheetId="3" r:id="R13d51b1c9f814c78"/>
    <x:sheet xmlns:r="http://schemas.openxmlformats.org/officeDocument/2006/relationships" name="Szablony" sheetId="4" r:id="R452248e4205c4096"/>
    <x:sheet xmlns:r="http://schemas.openxmlformats.org/officeDocument/2006/relationships" name="Zrodla_i_API" sheetId="5" r:id="R35685658c83743a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FFFF"/>
      <x:name val="Carlito"/>
    </x:font>
    <x:font>
      <x:b/>
      <x:sz val="11"/>
      <x:color rgb="FFFFFF"/>
      <x:name val="Carlito"/>
    </x:font>
    <x:font>
      <x:b/>
      <x:sz val="11"/>
      <x:name val="Carlito"/>
    </x:font>
    <x:font>
      <x:b/>
      <x:sz val="18"/>
      <x:name val="Carlito"/>
    </x:font>
    <x:font>
      <x:b/>
      <x:sz val="18"/>
      <x:color rgb="0C2340"/>
      <x:name val="Carlito"/>
    </x:font>
  </x:fonts>
  <x:fills count="4">
    <x:fill>
      <x:patternFill patternType="none"/>
    </x:fill>
    <x:fill>
      <x:patternFill patternType="gray125"/>
    </x:fill>
    <x:fill>
      <x:patternFill patternType="solid">
        <x:fgColor rgb="0C2340"/>
      </x:patternFill>
    </x:fill>
    <x:fill>
      <x:patternFill patternType="solid">
        <x:fgColor rgb="FFF7ED"/>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ab49b20088484d" /><Relationship Type="http://schemas.openxmlformats.org/officeDocument/2006/relationships/theme" Target="/xl/theme/theme1.xml" Id="R76705b419dc44bec" /><Relationship Type="http://schemas.openxmlformats.org/officeDocument/2006/relationships/sharedStrings" Target="/xl/sharedStrings.xml" Id="Rddc7f3ba22b741b0" /><Relationship Type="http://schemas.openxmlformats.org/officeDocument/2006/relationships/worksheet" Target="/xl/worksheets/sheet1.xml" Id="Rebc37ebc4bfe4d30" /><Relationship Type="http://schemas.openxmlformats.org/officeDocument/2006/relationships/worksheet" Target="/xl/worksheets/sheet2.xml" Id="R2fd39e757ff240a2" /><Relationship Type="http://schemas.openxmlformats.org/officeDocument/2006/relationships/worksheet" Target="/xl/worksheets/sheet3.xml" Id="R13d51b1c9f814c78" /><Relationship Type="http://schemas.openxmlformats.org/officeDocument/2006/relationships/worksheet" Target="/xl/worksheets/sheet4.xml" Id="R452248e4205c4096" /><Relationship Type="http://schemas.openxmlformats.org/officeDocument/2006/relationships/worksheet" Target="/xl/worksheets/sheet5.xml" Id="R35685658c83743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1.290000915527344" hidden="0" customWidth="1"/>
    <x:col min="2" max="2" width="14.109999656677246" hidden="0" customWidth="1"/>
    <x:col min="3" max="3" width="3.069999933242798" hidden="0" customWidth="1"/>
    <x:col min="4" max="4" width="28.829999923706055" hidden="0" customWidth="1"/>
    <x:col min="5" max="5" width="19.020000457763672" hidden="0" customWidth="1"/>
  </x:cols>
  <x:sheetData>
    <x:row r="1">
      <x:c r="A1" s="6" t="str">
        <x:v>Kantor Uniwersalny - prospecting Ochota</x:v>
      </x:c>
      <x:c r="B1" s="6" t="str"/>
      <x:c r="C1" s="6" t="str"/>
      <x:c r="D1" s="6" t="str"/>
      <x:c r="E1" s="6" t="str"/>
    </x:row>
    <x:row r="2">
      <x:c r="A2" t="str">
        <x:v>Zakres</x:v>
      </x:c>
      <x:c r="B2" t="str">
        <x:v>Warszawa Ochota</x:v>
      </x:c>
      <x:c r="C2" t="str"/>
      <x:c r="D2" t="str">
        <x:v>Baza</x:v>
      </x:c>
      <x:c r="E2" t="str">
        <x:v>marketing/ochota-prospects.seed.json</x:v>
      </x:c>
    </x:row>
    <x:row r="3">
      <x:c r="A3" t="str"/>
      <x:c r="B3" t="str"/>
      <x:c r="C3" t="str"/>
      <x:c r="D3" t="str"/>
      <x:c r="E3" t="str"/>
    </x:row>
    <x:row r="4">
      <x:c r="A4" s="3" t="str">
        <x:v>KPI</x:v>
      </x:c>
      <x:c r="B4" s="3" t="str">
        <x:v>Wartość</x:v>
      </x:c>
      <x:c r="C4" t="str"/>
      <x:c r="D4" s="3" t="str">
        <x:v>Status</x:v>
      </x:c>
      <x:c r="E4" s="3" t="str">
        <x:v>Liczba</x:v>
      </x:c>
    </x:row>
    <x:row r="5">
      <x:c r="A5" s="8" t="str">
        <x:v>Leadów razem</x:v>
      </x:c>
      <x:c r="B5" s="8" t="n">
        <x:f>COUNTA(Leady_Ochota!A2:A1000)</x:f>
        <x:v>7</x:v>
      </x:c>
      <x:c r="C5" t="str"/>
      <x:c r="D5" t="str">
        <x:v>Do weryfikacji</x:v>
      </x:c>
      <x:c r="E5" t="n">
        <x:f>COUNTIF(Leady_Ochota!D2:D1000,D5)</x:f>
        <x:v>5</x:v>
      </x:c>
    </x:row>
    <x:row r="6">
      <x:c r="A6" s="8" t="str">
        <x:v>Do wysłania</x:v>
      </x:c>
      <x:c r="B6" s="8" t="n">
        <x:f>COUNTIF(Leady_Ochota!D2:D1000,"Do wysłania")</x:f>
        <x:v>2</x:v>
      </x:c>
      <x:c r="C6" t="str"/>
      <x:c r="D6" t="str">
        <x:v>Do wysłania</x:v>
      </x:c>
      <x:c r="E6" t="n">
        <x:f>COUNTIF(Leady_Ochota!D2:D1000,D6)</x:f>
        <x:v>2</x:v>
      </x:c>
    </x:row>
    <x:row r="7">
      <x:c r="A7" s="8" t="str">
        <x:v>Wysłano</x:v>
      </x:c>
      <x:c r="B7" s="8" t="n">
        <x:f>COUNTIF(Leady_Ochota!D2:D1000,"Wysłano")</x:f>
        <x:v>0</x:v>
      </x:c>
      <x:c r="C7" t="str"/>
      <x:c r="D7" t="str">
        <x:v>Wysłano</x:v>
      </x:c>
      <x:c r="E7" t="n">
        <x:f>COUNTIF(Leady_Ochota!D2:D1000,D7)</x:f>
        <x:v>0</x:v>
      </x:c>
    </x:row>
    <x:row r="8">
      <x:c r="A8" s="8" t="str">
        <x:v>Z mailem</x:v>
      </x:c>
      <x:c r="B8" s="8" t="n">
        <x:f>COUNTA(Leady_Ochota!J2:J1000)</x:f>
        <x:v>2</x:v>
      </x:c>
      <x:c r="C8" t="str"/>
      <x:c r="D8" t="str">
        <x:v>Odpowiedział</x:v>
      </x:c>
      <x:c r="E8" t="n">
        <x:f>COUNTIF(Leady_Ochota!D2:D1000,D8)</x:f>
        <x:v>0</x:v>
      </x:c>
    </x:row>
    <x:row r="9">
      <x:c r="A9" s="8" t="str">
        <x:v>Bez strony www</x:v>
      </x:c>
      <x:c r="B9" s="8" t="n">
        <x:f>COUNTBLANK(Leady_Ochota!K2:K1000)-COUNTBLANK(Leady_Ochota!A2:A1000)</x:f>
        <x:v>4</x:v>
      </x:c>
      <x:c r="C9" t="str"/>
      <x:c r="D9" t="str">
        <x:v>Nie kontaktować</x:v>
      </x:c>
      <x:c r="E9" t="n">
        <x:f>COUNTIF(Leady_Ochota!D2:D1000,D9)</x:f>
        <x:v>0</x:v>
      </x:c>
    </x:row>
    <x:row r="10">
      <x:c r="A10" t="str"/>
      <x:c r="B10" t="str"/>
      <x:c r="C10" t="str"/>
      <x:c r="D10" t="str"/>
      <x:c r="E10" t="str"/>
    </x:row>
    <x:row r="11">
      <x:c r="A11" s="3" t="str">
        <x:v>Priorytet</x:v>
      </x:c>
      <x:c r="B11" s="3" t="str">
        <x:v>Liczba</x:v>
      </x:c>
      <x:c r="C11" t="str"/>
      <x:c r="D11" s="3" t="str">
        <x:v>Następny krok</x:v>
      </x:c>
      <x:c r="E11" s="3" t="str"/>
    </x:row>
    <x:row r="12">
      <x:c r="A12" t="str">
        <x:v>wysoki</x:v>
      </x:c>
      <x:c r="B12" t="n">
        <x:f>COUNTIF(Leady_Ochota!B2:B1000,A12)</x:f>
        <x:v>2</x:v>
      </x:c>
      <x:c r="C12" t="str"/>
      <x:c r="D12" t="str">
        <x:v>1. Zweryfikować dane z Google Places</x:v>
      </x:c>
      <x:c r="E12" t="str"/>
    </x:row>
    <x:row r="13">
      <x:c r="A13" t="str">
        <x:v>średni</x:v>
      </x:c>
      <x:c r="B13" t="n">
        <x:f>COUNTIF(Leady_Ochota!B2:B1000,A13)</x:f>
        <x:v>4</x:v>
      </x:c>
      <x:c r="C13" t="str"/>
      <x:c r="D13" t="str">
        <x:v>2. Wysłać mail z linkiem demo</x:v>
      </x:c>
      <x:c r="E13" t="str"/>
    </x:row>
    <x:row r="14">
      <x:c r="A14" t="str">
        <x:v>niski</x:v>
      </x:c>
      <x:c r="B14" t="n">
        <x:f>COUNTIF(Leady_Ochota!B2:B1000,A14)</x:f>
        <x:v>1</x:v>
      </x:c>
      <x:c r="C14" t="str"/>
      <x:c r="D14" t="str">
        <x:v>3. Oznaczyć status i datę wysyłki</x:v>
      </x:c>
      <x:c r="E14"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430000305175781" hidden="0" customWidth="1"/>
    <x:col min="2" max="2" width="10.430000305175781" hidden="0" customWidth="1"/>
    <x:col min="3" max="3" width="12.880000114440918" hidden="0" customWidth="1"/>
    <x:col min="4" max="4" width="14.109999656677246" hidden="0" customWidth="1"/>
    <x:col min="5" max="5" width="12.880000114440918" hidden="0" customWidth="1"/>
    <x:col min="6" max="6" width="26.3799991607666" hidden="0" customWidth="1"/>
    <x:col min="7" max="7" width="31.290000915527344" hidden="0" customWidth="1"/>
    <x:col min="8" max="8" width="10.430000305175781" hidden="0" customWidth="1"/>
    <x:col min="9" max="9" width="21.469999313354492" hidden="0" customWidth="1"/>
    <x:col min="10" max="10" width="21.469999313354492" hidden="0" customWidth="1"/>
    <x:col min="11" max="11" width="26.3799991607666" hidden="0" customWidth="1"/>
    <x:col min="12" max="12" width="31.290000915527344" hidden="0" customWidth="1"/>
    <x:col min="13" max="13" width="19.020000457763672" hidden="0" customWidth="1"/>
    <x:col min="14" max="14" width="7.980000019073486" hidden="0" customWidth="1"/>
    <x:col min="15" max="15" width="7.980000019073486" hidden="0" customWidth="1"/>
    <x:col min="16" max="16" width="28.829999923706055" hidden="0" customWidth="1"/>
    <x:col min="17" max="17" width="50.91999816894531" hidden="0" customWidth="1"/>
    <x:col min="18" max="18" width="21.469999313354492" hidden="0" customWidth="1"/>
    <x:col min="19" max="19" width="31.290000915527344" hidden="0" customWidth="1"/>
    <x:col min="20" max="20" width="43.560001373291016" hidden="0" customWidth="1"/>
  </x:cols>
  <x:sheetData>
    <x:row r="1">
      <x:c r="A1" s="9" t="str">
        <x:v>ID</x:v>
      </x:c>
      <x:c r="B1" s="9" t="str">
        <x:v>Priorytet</x:v>
      </x:c>
      <x:c r="C1" s="9" t="str">
        <x:v>Typ leadu</x:v>
      </x:c>
      <x:c r="D1" s="9" t="str">
        <x:v>Status wysyłki</x:v>
      </x:c>
      <x:c r="E1" s="9" t="str">
        <x:v>Data wysyłki</x:v>
      </x:c>
      <x:c r="F1" s="9" t="str">
        <x:v>Nazwa</x:v>
      </x:c>
      <x:c r="G1" s="9" t="str">
        <x:v>Adres</x:v>
      </x:c>
      <x:c r="H1" s="9" t="str">
        <x:v>Dzielnica</x:v>
      </x:c>
      <x:c r="I1" s="9" t="str">
        <x:v>Telefon</x:v>
      </x:c>
      <x:c r="J1" s="9" t="str">
        <x:v>E-mail</x:v>
      </x:c>
      <x:c r="K1" s="9" t="str">
        <x:v>Strona www</x:v>
      </x:c>
      <x:c r="L1" s="9" t="str">
        <x:v>Google Maps</x:v>
      </x:c>
      <x:c r="M1" s="9" t="str">
        <x:v>Place ID</x:v>
      </x:c>
      <x:c r="N1" s="9" t="str">
        <x:v>Ocena</x:v>
      </x:c>
      <x:c r="O1" s="9" t="str">
        <x:v>Opinie</x:v>
      </x:c>
      <x:c r="P1" s="9" t="str">
        <x:v>Godziny</x:v>
      </x:c>
      <x:c r="Q1" s="9" t="str">
        <x:v>Demo URL</x:v>
      </x:c>
      <x:c r="R1" s="9" t="str">
        <x:v>Źródło</x:v>
      </x:c>
      <x:c r="S1" s="9" t="str">
        <x:v>URL źródła</x:v>
      </x:c>
      <x:c r="T1" s="9" t="str">
        <x:v>Notatki</x:v>
      </x:c>
      <x:c r="U1" s="10"/>
      <x:c r="V1" s="10"/>
      <x:c r="W1" s="10"/>
    </x:row>
    <x:row r="2">
      <x:c r="A2" t="str">
        <x:v>OCH-001</x:v>
      </x:c>
      <x:c r="B2" t="str">
        <x:v>wysoki</x:v>
      </x:c>
      <x:c r="C2" t="str">
        <x:v>kantor</x:v>
      </x:c>
      <x:c r="D2" t="str">
        <x:v>Do wysłania</x:v>
      </x:c>
      <x:c r="E2"/>
      <x:c r="F2" t="str">
        <x:v>Kantor Akcent</x:v>
      </x:c>
      <x:c r="G2" t="str">
        <x:v>ul. Grójecka 95, 02-101 Warszawa</x:v>
      </x:c>
      <x:c r="H2" t="str">
        <x:v>Ochota</x:v>
      </x:c>
      <x:c r="I2" t="str">
        <x:v>(22) 823 00 90; 609 28 11 28</x:v>
      </x:c>
      <x:c r="J2" t="str">
        <x:v>kantor.banacha@wp.pl</x:v>
      </x:c>
      <x:c r="K2" t="str">
        <x:v>https://kantorbanacha.pl/</x:v>
      </x:c>
      <x:c r="L2" t="str">
        <x:v>https://www.google.com/maps/search/?api=1&amp;query=Kantor%20Akcent%20Gr%C3%B3jecka%2095%20Warszawa</x:v>
      </x:c>
      <x:c r="M2"/>
      <x:c r="N2"/>
      <x:c r="O2"/>
      <x:c r="P2" t="str">
        <x:v>Pon-pt 9:30-17:30; sob 9:30-14:30; niedz. zamknięte</x:v>
      </x:c>
      <x:c r="Q2" t="str">
        <x:v>https://oskar-urban.github.io/Kantor-Uniwersalny/?d=och-001</x:v>
      </x:c>
      <x:c r="R2" t="str">
        <x:v>MarketPortal.pl / StrefaWalut.pl</x:v>
      </x:c>
      <x:c r="S2" t="str">
        <x:v>https://marketportal.pl/kantor/kantor-akcent-warszawa-grojecka-95</x:v>
      </x:c>
      <x:c r="T2" t="str">
        <x:v>Lead z pełnym telefonem i mailem; do potwierdzenia przez Google Places przed wysyłką.</x:v>
      </x:c>
    </x:row>
    <x:row r="3">
      <x:c r="A3" t="str">
        <x:v>OCH-002</x:v>
      </x:c>
      <x:c r="B3" t="str">
        <x:v>średni</x:v>
      </x:c>
      <x:c r="C3" t="str">
        <x:v>kantor</x:v>
      </x:c>
      <x:c r="D3" t="str">
        <x:v>Do wysłania</x:v>
      </x:c>
      <x:c r="E3"/>
      <x:c r="F3" t="str">
        <x:v>Kantor Cris</x:v>
      </x:c>
      <x:c r="G3" t="str">
        <x:v>ul. Grójecka 42, 02-320 Warszawa</x:v>
      </x:c>
      <x:c r="H3" t="str">
        <x:v>Ochota</x:v>
      </x:c>
      <x:c r="I3" t="str">
        <x:v>+48 22 822 06 06; +48 22 400 80 53; +48 503 508 419</x:v>
      </x:c>
      <x:c r="J3" t="str">
        <x:v>poczta@kantorcris.pl</x:v>
      </x:c>
      <x:c r="K3" t="str">
        <x:v>https://www.kantorcris.pl/</x:v>
      </x:c>
      <x:c r="L3" t="str">
        <x:v>https://www.google.com/maps/search/?api=1&amp;query=Kantor%20Cris%20Gr%C3%B3jecka%2042%20Warszawa</x:v>
      </x:c>
      <x:c r="M3"/>
      <x:c r="N3"/>
      <x:c r="O3"/>
      <x:c r="P3" t="str">
        <x:v>Całodobowo</x:v>
      </x:c>
      <x:c r="Q3" t="str">
        <x:v>https://oskar-urban.github.io/Kantor-Uniwersalny/?d=och-002</x:v>
      </x:c>
      <x:c r="R3" t="str">
        <x:v>Własna strona / Kantor.Live</x:v>
      </x:c>
      <x:c r="S3" t="str">
        <x:v>https://kantor.live/kantory/warszawa/391814-kantor-cris</x:v>
      </x:c>
      <x:c r="T3" t="str">
        <x:v>Ma własną stronę, więc argument sprzedażowy raczej modernizacja/mobile/panel niż brak strony.</x:v>
      </x:c>
    </x:row>
    <x:row r="4">
      <x:c r="A4" t="str">
        <x:v>OCH-003</x:v>
      </x:c>
      <x:c r="B4" t="str">
        <x:v>wysoki</x:v>
      </x:c>
      <x:c r="C4" t="str">
        <x:v>kantor</x:v>
      </x:c>
      <x:c r="D4" t="str">
        <x:v>Do weryfikacji</x:v>
      </x:c>
      <x:c r="E4"/>
      <x:c r="F4" t="str">
        <x:v>Grysiewicz Ewa. Kantor wymiany walut</x:v>
      </x:c>
      <x:c r="G4" t="str">
        <x:v>ul. Grójecka 19/25, 02-021 Warszawa</x:v>
      </x:c>
      <x:c r="H4" t="str">
        <x:v>Ochota</x:v>
      </x:c>
      <x:c r="I4" t="str">
        <x:v>22 823 56 73</x:v>
      </x:c>
      <x:c r="J4"/>
      <x:c r="K4"/>
      <x:c r="L4" t="str">
        <x:v>https://www.google.com/maps/search/?api=1&amp;query=Grysiewicz%20Ewa%20Kantor%20wymiany%20walut%20Gr%C3%B3jecka%2019%2F25%20Warszawa</x:v>
      </x:c>
      <x:c r="M4"/>
      <x:c r="N4"/>
      <x:c r="O4"/>
      <x:c r="P4" t="str">
        <x:v>Pon-pt 9:00-17:00; sob 10:00-14:00; niedz. zamknięte</x:v>
      </x:c>
      <x:c r="Q4" t="str">
        <x:v>https://oskar-urban.github.io/Kantor-Uniwersalny/?d=och-003</x:v>
      </x:c>
      <x:c r="R4" t="str">
        <x:v>KRS Online</x:v>
      </x:c>
      <x:c r="S4" t="str">
        <x:v>https://www.krs-online.com.pl/firma/826799-grysiewicz-ewa-kantor-wymiany-walut</x:v>
      </x:c>
      <x:c r="T4" t="str">
        <x:v>Brak strony i maila w źródłach; dobry kandydat do telefonu albo weryfikacji Places.</x:v>
      </x:c>
    </x:row>
    <x:row r="5">
      <x:c r="A5" t="str">
        <x:v>OCH-004</x:v>
      </x:c>
      <x:c r="B5" t="str">
        <x:v>średni</x:v>
      </x:c>
      <x:c r="C5" t="str">
        <x:v>kantor</x:v>
      </x:c>
      <x:c r="D5" t="str">
        <x:v>Do weryfikacji</x:v>
      </x:c>
      <x:c r="E5"/>
      <x:c r="F5" t="str">
        <x:v>Kantor Wymiany Walut - Multiserwis</x:v>
      </x:c>
      <x:c r="G5" t="str">
        <x:v>Aleje Jerozolimskie 148 (CH Reduta), 02-326 Warszawa</x:v>
      </x:c>
      <x:c r="H5" t="str">
        <x:v>Ochota</x:v>
      </x:c>
      <x:c r="I5"/>
      <x:c r="J5"/>
      <x:c r="K5" t="str">
        <x:v>http://www.kantorywarszawskie.pl</x:v>
      </x:c>
      <x:c r="L5" t="str">
        <x:v>https://maps.google.com/maps?cid=4116093673927869017</x:v>
      </x:c>
      <x:c r="M5"/>
      <x:c r="N5"/>
      <x:c r="O5"/>
      <x:c r="P5"/>
      <x:c r="Q5" t="str">
        <x:v>https://oskar-urban.github.io/Kantor-Uniwersalny/?d=och-004</x:v>
      </x:c>
      <x:c r="R5" t="str">
        <x:v>Panorama Firm</x:v>
      </x:c>
      <x:c r="S5" t="str">
        <x:v>https://panoramafirm.pl/mazowieckie%2C%2Cwarszawa%2Cochota%2Caleje_jerozolimskie%2C148_%28ch_reduta%29/kantor_wymiany_walut_multiserws-sggjeb_ajw.html</x:v>
      </x:c>
      <x:c r="T5" t="str">
        <x:v>Źródło pokazuje telefon częściowo ukryty; najlepiej uzupełnić przez Google Places.</x:v>
      </x:c>
    </x:row>
    <x:row r="6">
      <x:c r="A6" t="str">
        <x:v>OCH-005</x:v>
      </x:c>
      <x:c r="B6" t="str">
        <x:v>średni</x:v>
      </x:c>
      <x:c r="C6" t="str">
        <x:v>kantor</x:v>
      </x:c>
      <x:c r="D6" t="str">
        <x:v>Do weryfikacji</x:v>
      </x:c>
      <x:c r="E6"/>
      <x:c r="F6" t="str">
        <x:v>Kantor Apollo</x:v>
      </x:c>
      <x:c r="G6" t="str">
        <x:v>Aleje Jerozolimskie 179, 02-222 Warszawa</x:v>
      </x:c>
      <x:c r="H6" t="str">
        <x:v>Ochota</x:v>
      </x:c>
      <x:c r="I6"/>
      <x:c r="J6"/>
      <x:c r="K6"/>
      <x:c r="L6" t="str">
        <x:v>https://www.google.com/maps/search/?api=1&amp;query=Kantor%20Apollo%20Aleje%20Jerozolimskie%20179%20Warszawa</x:v>
      </x:c>
      <x:c r="M6"/>
      <x:c r="N6"/>
      <x:c r="O6"/>
      <x:c r="P6"/>
      <x:c r="Q6" t="str">
        <x:v>https://oskar-urban.github.io/Kantor-Uniwersalny/?d=och-005</x:v>
      </x:c>
      <x:c r="R6" t="str">
        <x:v>Kantroom.pl</x:v>
      </x:c>
      <x:c r="S6" t="str">
        <x:v>https://kantroom.pl/kantory/warszawa/ochota/</x:v>
      </x:c>
      <x:c r="T6" t="str">
        <x:v>Wstępny lead z listingu; wymaga potwierdzenia danych.</x:v>
      </x:c>
    </x:row>
    <x:row r="7">
      <x:c r="A7" t="str">
        <x:v>OCH-006</x:v>
      </x:c>
      <x:c r="B7" t="str">
        <x:v>średni</x:v>
      </x:c>
      <x:c r="C7" t="str">
        <x:v>kantor/metale</x:v>
      </x:c>
      <x:c r="D7" t="str">
        <x:v>Do weryfikacji</x:v>
      </x:c>
      <x:c r="E7"/>
      <x:c r="F7" t="str">
        <x:v>Kantor Fabryka Złota</x:v>
      </x:c>
      <x:c r="G7" t="str">
        <x:v>Aleje Jerozolimskie 179 (CH Blue City), 02-222 Warszawa</x:v>
      </x:c>
      <x:c r="H7" t="str">
        <x:v>Ochota</x:v>
      </x:c>
      <x:c r="I7"/>
      <x:c r="J7"/>
      <x:c r="K7"/>
      <x:c r="L7" t="str">
        <x:v>https://www.google.com/maps/search/?api=1&amp;query=Kantor%20Fabryka%20Z%C5%82ota%20Blue%20City%20Warszawa</x:v>
      </x:c>
      <x:c r="M7"/>
      <x:c r="N7"/>
      <x:c r="O7"/>
      <x:c r="P7"/>
      <x:c r="Q7" t="str">
        <x:v>https://oskar-urban.github.io/Kantor-Uniwersalny/?d=och-006</x:v>
      </x:c>
      <x:c r="R7" t="str">
        <x:v>Kantroom.pl</x:v>
      </x:c>
      <x:c r="S7" t="str">
        <x:v>https://kantroom.pl/kantory/warszawa/ochota/</x:v>
      </x:c>
      <x:c r="T7" t="str">
        <x:v>Potencjalnie mocne dopasowanie do sekcji złota/srebra; wymaga potwierdzenia.</x:v>
      </x:c>
    </x:row>
    <x:row r="8">
      <x:c r="A8" t="str">
        <x:v>OCH-007</x:v>
      </x:c>
      <x:c r="B8" t="str">
        <x:v>niski</x:v>
      </x:c>
      <x:c r="C8" t="str">
        <x:v>kantor</x:v>
      </x:c>
      <x:c r="D8" t="str">
        <x:v>Do weryfikacji</x:v>
      </x:c>
      <x:c r="E8"/>
      <x:c r="F8" t="str">
        <x:v>Extrakantor</x:v>
      </x:c>
      <x:c r="G8" t="str">
        <x:v>Aleje Jerozolimskie 144, Warszawa</x:v>
      </x:c>
      <x:c r="H8" t="str">
        <x:v>Ochota</x:v>
      </x:c>
      <x:c r="I8"/>
      <x:c r="J8"/>
      <x:c r="K8"/>
      <x:c r="L8" t="str">
        <x:v>https://www.google.com/maps/search/?api=1&amp;query=Extrakantor%20Aleje%20Jerozolimskie%20144%20Warszawa</x:v>
      </x:c>
      <x:c r="M8"/>
      <x:c r="N8"/>
      <x:c r="O8"/>
      <x:c r="P8"/>
      <x:c r="Q8" t="str">
        <x:v>https://oskar-urban.github.io/Kantor-Uniwersalny/?d=och-007</x:v>
      </x:c>
      <x:c r="R8" t="str">
        <x:v>Kantroom.pl</x:v>
      </x:c>
      <x:c r="S8" t="str">
        <x:v>https://kantroom.pl/kantory/warszawa/ochota/</x:v>
      </x:c>
      <x:c r="T8" t="str">
        <x:v>Adres przy granicy dzielnic; sprawdzić, czy mieści się w zakresie pilota.</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430000305175781" hidden="0" customWidth="1"/>
    <x:col min="2" max="2" width="26.3799991607666" hidden="0" customWidth="1"/>
    <x:col min="3" max="3" width="31.290000915527344" hidden="0" customWidth="1"/>
    <x:col min="4" max="4" width="50.91999816894531" hidden="0" customWidth="1"/>
    <x:col min="5" max="5" width="75.45999908447266" hidden="0" customWidth="1"/>
    <x:col min="6" max="6" width="63.189998626708984" hidden="0" customWidth="1"/>
  </x:cols>
  <x:sheetData>
    <x:row r="1">
      <x:c r="A1" s="9" t="str">
        <x:v>ID</x:v>
      </x:c>
      <x:c r="B1" s="9" t="str">
        <x:v>Nazwa</x:v>
      </x:c>
      <x:c r="C1" s="9" t="str">
        <x:v>Temat</x:v>
      </x:c>
      <x:c r="D1" s="9" t="str">
        <x:v>Demo URL</x:v>
      </x:c>
      <x:c r="E1" s="9" t="str">
        <x:v>Pierwszy mail</x:v>
      </x:c>
      <x:c r="F1" s="9" t="str">
        <x:v>Follow-up</x:v>
      </x:c>
      <x:c r="G1" s="10"/>
      <x:c r="H1" s="10"/>
      <x:c r="I1" s="10"/>
      <x:c r="J1" s="10"/>
      <x:c r="K1" s="10"/>
      <x:c r="L1" s="10"/>
      <x:c r="M1" s="10"/>
      <x:c r="N1" s="10"/>
      <x:c r="O1" s="10"/>
      <x:c r="P1" s="10"/>
      <x:c r="Q1" s="10"/>
      <x:c r="R1" s="10"/>
      <x:c r="S1" s="10"/>
      <x:c r="T1" s="10"/>
      <x:c r="U1" s="10"/>
      <x:c r="V1" s="10"/>
      <x:c r="W1" s="10"/>
    </x:row>
    <x:row r="2">
      <x:c r="A2" t="str">
        <x:v>OCH-001</x:v>
      </x:c>
      <x:c r="B2" t="str">
        <x:v>Kantor Akcent</x:v>
      </x:c>
      <x:c r="C2" t="str">
        <x:v>Krótka wersja demo strony dla Kantor Akcent</x:v>
      </x:c>
      <x:c r="D2" t="str">
        <x:v>https://oskar-urban.github.io/Kantor-Uniwersalny/?d=och-001</x:v>
      </x:c>
      <x:c r="E2" t="str">
        <x:v>Dzień dobry,
przygotowałem krótką, poglądową wersję nowoczesnej strony dla Kantor Akcent:
https://oskar-urban.github.io/Kantor-Uniwersalny/?d=och-001
To nie jest szablon “na sucho” - link pokazuje od razu, jak mogłaby wyglądać strona Państwa kantoru z kursami walut, kalkulatorem, mapą dojazdu oraz sekcją usług typu złoto, srebro i numizmatyka. Wstawiłem już podstawowe dane publiczne: nazwę i lokalizację (ul. Grójecka 95, 02-101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c r="F2" t="str">
        <x:v>Dzień dobry,
wracam tylko z linkiem do poglądowej wersji strony dla Kantor Akcent:
https://oskar-urban.github.io/Kantor-Uniwersalny/?d=och-001
Jeżeli temat strony internetowej jest aktualny, mogę dopasować treści, kolory i sekcje pod Państwa realną ofertę oraz przygotować prosty panel do aktualizacji kursów.
Pozdrawiam,
Oskar</x:v>
      </x:c>
    </x:row>
    <x:row r="3">
      <x:c r="A3" t="str">
        <x:v>OCH-002</x:v>
      </x:c>
      <x:c r="B3" t="str">
        <x:v>Kantor Cris</x:v>
      </x:c>
      <x:c r="C3" t="str">
        <x:v>Krótka wersja demo strony dla Kantor Cris</x:v>
      </x:c>
      <x:c r="D3" t="str">
        <x:v>https://oskar-urban.github.io/Kantor-Uniwersalny/?d=och-002</x:v>
      </x:c>
      <x:c r="E3" t="str">
        <x:v>Dzień dobry,
przygotowałem krótką, poglądową wersję nowoczesnej strony dla Kantor Cris:
https://oskar-urban.github.io/Kantor-Uniwersalny/?d=och-002
To nie jest szablon “na sucho” - link pokazuje od razu, jak mogłaby wyglądać strona Państwa kantoru z kursami walut, kalkulatorem, mapą dojazdu oraz sekcją usług typu złoto, srebro i numizmatyka. Wstawiłem już podstawowe dane publiczne: nazwę i lokalizację (ul. Grójecka 42, 02-320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c r="F3" t="str">
        <x:v>Dzień dobry,
wracam tylko z linkiem do poglądowej wersji strony dla Kantor Cris:
https://oskar-urban.github.io/Kantor-Uniwersalny/?d=och-002
Jeżeli temat strony internetowej jest aktualny, mogę dopasować treści, kolory i sekcje pod Państwa realną ofertę oraz przygotować prosty panel do aktualizacji kursów.
Pozdrawiam,
Oskar</x:v>
      </x:c>
    </x:row>
    <x:row r="4">
      <x:c r="A4" t="str">
        <x:v>OCH-003</x:v>
      </x:c>
      <x:c r="B4" t="str">
        <x:v>Grysiewicz Ewa. Kantor wymiany walut</x:v>
      </x:c>
      <x:c r="C4" t="str">
        <x:v>Krótka wersja demo strony dla Grysiewicz Ewa. Kantor wymiany walut</x:v>
      </x:c>
      <x:c r="D4" t="str">
        <x:v>https://oskar-urban.github.io/Kantor-Uniwersalny/?d=och-003</x:v>
      </x:c>
      <x:c r="E4" t="str">
        <x:v>Dzień dobry,
przygotowałem krótką, poglądową wersję nowoczesnej strony dla Grysiewicz Ewa. Kantor wymiany walut:
https://oskar-urban.github.io/Kantor-Uniwersalny/?d=och-003
To nie jest szablon “na sucho” - link pokazuje od razu, jak mogłaby wyglądać strona Państwa kantoru z kursami walut, kalkulatorem, mapą dojazdu oraz sekcją usług typu złoto, srebro i numizmatyka. Wstawiłem już podstawowe dane publiczne: nazwę i lokalizację (ul. Grójecka 19/25, 02-021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c r="F4" t="str">
        <x:v>Dzień dobry,
wracam tylko z linkiem do poglądowej wersji strony dla Grysiewicz Ewa. Kantor wymiany walut:
https://oskar-urban.github.io/Kantor-Uniwersalny/?d=och-003
Jeżeli temat strony internetowej jest aktualny, mogę dopasować treści, kolory i sekcje pod Państwa realną ofertę oraz przygotować prosty panel do aktualizacji kursów.
Pozdrawiam,
Oskar</x:v>
      </x:c>
    </x:row>
    <x:row r="5">
      <x:c r="A5" t="str">
        <x:v>OCH-004</x:v>
      </x:c>
      <x:c r="B5" t="str">
        <x:v>Kantor Wymiany Walut - Multiserwis</x:v>
      </x:c>
      <x:c r="C5" t="str">
        <x:v>Krótka wersja demo strony dla Kantor Wymiany Walut - Multiserwis</x:v>
      </x:c>
      <x:c r="D5" t="str">
        <x:v>https://oskar-urban.github.io/Kantor-Uniwersalny/?d=och-004</x:v>
      </x:c>
      <x:c r="E5" t="str">
        <x:v>Dzień dobry,
przygotowałem krótką, poglądową wersję nowoczesnej strony dla Kantor Wymiany Walut - Multiserwis:
https://oskar-urban.github.io/Kantor-Uniwersalny/?d=och-004
To nie jest szablon “na sucho” - link pokazuje od razu, jak mogłaby wyglądać strona Państwa kantoru z kursami walut, kalkulatorem, mapą dojazdu oraz sekcją usług typu złoto, srebro i numizmatyka. Wstawiłem już podstawowe dane publiczne: nazwę i lokalizację (Aleje Jerozolimskie 148 (CH Reduta), 02-326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c r="F5" t="str">
        <x:v>Dzień dobry,
wracam tylko z linkiem do poglądowej wersji strony dla Kantor Wymiany Walut - Multiserwis:
https://oskar-urban.github.io/Kantor-Uniwersalny/?d=och-004
Jeżeli temat strony internetowej jest aktualny, mogę dopasować treści, kolory i sekcje pod Państwa realną ofertę oraz przygotować prosty panel do aktualizacji kursów.
Pozdrawiam,
Oskar</x:v>
      </x:c>
    </x:row>
    <x:row r="6">
      <x:c r="A6" t="str">
        <x:v>OCH-005</x:v>
      </x:c>
      <x:c r="B6" t="str">
        <x:v>Kantor Apollo</x:v>
      </x:c>
      <x:c r="C6" t="str">
        <x:v>Krótka wersja demo strony dla Kantor Apollo</x:v>
      </x:c>
      <x:c r="D6" t="str">
        <x:v>https://oskar-urban.github.io/Kantor-Uniwersalny/?d=och-005</x:v>
      </x:c>
      <x:c r="E6" t="str">
        <x:v>Dzień dobry,
przygotowałem krótką, poglądową wersję nowoczesnej strony dla Kantor Apollo:
https://oskar-urban.github.io/Kantor-Uniwersalny/?d=och-005
To nie jest szablon “na sucho” - link pokazuje od razu, jak mogłaby wyglądać strona Państwa kantoru z kursami walut, kalkulatorem, mapą dojazdu oraz sekcją usług typu złoto, srebro i numizmatyka. Wstawiłem już podstawowe dane publiczne: nazwę i lokalizację (Aleje Jerozolimskie 179, 02-222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c r="F6" t="str">
        <x:v>Dzień dobry,
wracam tylko z linkiem do poglądowej wersji strony dla Kantor Apollo:
https://oskar-urban.github.io/Kantor-Uniwersalny/?d=och-005
Jeżeli temat strony internetowej jest aktualny, mogę dopasować treści, kolory i sekcje pod Państwa realną ofertę oraz przygotować prosty panel do aktualizacji kursów.
Pozdrawiam,
Oskar</x:v>
      </x:c>
    </x:row>
    <x:row r="7">
      <x:c r="A7" t="str">
        <x:v>OCH-006</x:v>
      </x:c>
      <x:c r="B7" t="str">
        <x:v>Kantor Fabryka Złota</x:v>
      </x:c>
      <x:c r="C7" t="str">
        <x:v>Krótka wersja demo strony dla Kantor Fabryka Złota</x:v>
      </x:c>
      <x:c r="D7" t="str">
        <x:v>https://oskar-urban.github.io/Kantor-Uniwersalny/?d=och-006</x:v>
      </x:c>
      <x:c r="E7" t="str">
        <x:v>Dzień dobry,
przygotowałem krótką, poglądową wersję nowoczesnej strony dla Kantor Fabryka Złota:
https://oskar-urban.github.io/Kantor-Uniwersalny/?d=och-006
To nie jest szablon “na sucho” - link pokazuje od razu, jak mogłaby wyglądać strona Państwa kantoru z kursami walut, kalkulatorem, mapą dojazdu oraz sekcją usług typu złoto, srebro i numizmatyka. Wstawiłem już podstawowe dane publiczne: nazwę i lokalizację (Aleje Jerozolimskie 179 (CH Blue City), 02-222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c r="F7" t="str">
        <x:v>Dzień dobry,
wracam tylko z linkiem do poglądowej wersji strony dla Kantor Fabryka Złota:
https://oskar-urban.github.io/Kantor-Uniwersalny/?d=och-006
Jeżeli temat strony internetowej jest aktualny, mogę dopasować treści, kolory i sekcje pod Państwa realną ofertę oraz przygotować prosty panel do aktualizacji kursów.
Pozdrawiam,
Oskar</x:v>
      </x:c>
    </x:row>
    <x:row r="8">
      <x:c r="A8" t="str">
        <x:v>OCH-007</x:v>
      </x:c>
      <x:c r="B8" t="str">
        <x:v>Extrakantor</x:v>
      </x:c>
      <x:c r="C8" t="str">
        <x:v>Krótka wersja demo strony dla Extrakantor</x:v>
      </x:c>
      <x:c r="D8" t="str">
        <x:v>https://oskar-urban.github.io/Kantor-Uniwersalny/?d=och-007</x:v>
      </x:c>
      <x:c r="E8" t="str">
        <x:v>Dzień dobry,
przygotowałem krótką, poglądową wersję nowoczesnej strony dla Extrakantor:
https://oskar-urban.github.io/Kantor-Uniwersalny/?d=och-007
To nie jest szablon “na sucho” - link pokazuje od razu, jak mogłaby wyglądać strona Państwa kantoru z kursami walut, kalkulatorem, mapą dojazdu oraz sekcją usług typu złoto, srebro i numizmatyka. Wstawiłem już podstawowe dane publiczne: nazwę i lokalizację (Aleje Jerozolimskie 144,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c r="F8" t="str">
        <x:v>Dzień dobry,
wracam tylko z linkiem do poglądowej wersji strony dla Extrakantor:
https://oskar-urban.github.io/Kantor-Uniwersalny/?d=och-007
Jeżeli temat strony internetowej jest aktualny, mogę dopasować treści, kolory i sekcje pod Państwa realną ofertę oraz przygotować prosty panel do aktualizacji kursów.
Pozdrawiam,
Oskar</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109999656677246" hidden="0" customWidth="1"/>
    <x:col min="2" max="2" width="31.290000915527344" hidden="0" customWidth="1"/>
    <x:col min="3" max="3" width="75.45999908447266" hidden="0" customWidth="1"/>
  </x:cols>
  <x:sheetData>
    <x:row r="1">
      <x:c r="A1" s="9" t="str">
        <x:v>Typ</x:v>
      </x:c>
      <x:c r="B1" s="9" t="str">
        <x:v>Temat</x:v>
      </x:c>
      <x:c r="C1" s="9" t="str">
        <x:v>Treść</x:v>
      </x:c>
      <x:c r="D1" s="10"/>
      <x:c r="E1" s="10"/>
      <x:c r="F1" s="10"/>
      <x:c r="G1" s="10"/>
      <x:c r="H1" s="10"/>
      <x:c r="I1" s="10"/>
      <x:c r="J1" s="10"/>
      <x:c r="K1" s="10"/>
      <x:c r="L1" s="10"/>
      <x:c r="M1" s="10"/>
      <x:c r="N1" s="10"/>
      <x:c r="O1" s="10"/>
      <x:c r="P1" s="10"/>
      <x:c r="Q1" s="10"/>
      <x:c r="R1" s="10"/>
      <x:c r="S1" s="10"/>
      <x:c r="T1" s="10"/>
      <x:c r="U1" s="10"/>
      <x:c r="V1" s="10"/>
      <x:c r="W1" s="10"/>
    </x:row>
    <x:row r="2">
      <x:c r="A2" t="str">
        <x:v>Pierwszy mail</x:v>
      </x:c>
      <x:c r="B2" t="str">
        <x:v>Krótka wersja demo strony dla [nazwa kantoru]</x:v>
      </x:c>
      <x:c r="C2" t="str">
        <x:v>Dzień dobry,
przygotowałem krótką, poglądową wersję nowoczesnej strony dla Kantor Akcent:
https://oskar-urban.github.io/Kantor-Uniwersalny/?d=och-001
To nie jest szablon “na sucho” - link pokazuje od razu, jak mogłaby wyglądać strona Państwa kantoru z kursami walut, kalkulatorem, mapą dojazdu oraz sekcją usług typu złoto, srebro i numizmatyka. Wstawiłem już podstawowe dane publiczne: nazwę i lokalizację (ul. Grójecka 95, 02-101 Warszawa).
Jeżeli obecna strona nie spełnia już swojej roli albo chcieliby Państwo mieć prostą stronę, którą da się szybko aktualizować, mogę przygotować docelową wersję pod Państwa kantor.
Czy mogę podesłać krótką propozycję wdrożenia albo zadzwonić na 10 minut?
Pozdrawiam,
Oskar</x:v>
      </x:c>
    </x:row>
    <x:row r="3">
      <x:c r="A3" t="str">
        <x:v>Follow-up</x:v>
      </x:c>
      <x:c r="B3" t="str">
        <x:v>Wracam z linkiem do demo strony</x:v>
      </x:c>
      <x:c r="C3" t="str">
        <x:v>Dzień dobry,
wracam tylko z linkiem do poglądowej wersji strony dla Kantor Akcent:
https://oskar-urban.github.io/Kantor-Uniwersalny/?d=och-001
Jeżeli temat strony internetowej jest aktualny, mogę dopasować treści, kolory i sekcje pod Państwa realną ofertę oraz przygotować prosty panel do aktualizacji kursów.
Pozdrawiam,
Oskar</x:v>
      </x:c>
    </x:row>
    <x:row r="4">
      <x:c r="A4" t="str">
        <x:v>Krótki wariant</x:v>
      </x:c>
      <x:c r="B4" t="str">
        <x:v>Strona dla [nazwa kantoru]</x:v>
      </x:c>
      <x:c r="C4" t="str">
        <x:v>Dzień dobry,
mam krótką, spersonalizowaną wersję demo strony dla Państwa kantoru: [link]
Jeżeli temat odświeżenia strony jest aktualny, mogę pokazać pełną wersję z kursami, kalkulatorem i panelem aktualizacji.
Pozdrawiam,
Oskar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1.469999313354492" hidden="0" customWidth="1"/>
    <x:col min="2" max="2" width="87.7300033569336" hidden="0" customWidth="1"/>
  </x:cols>
  <x:sheetData>
    <x:row r="1">
      <x:c r="A1" s="9" t="str">
        <x:v>Obszar</x:v>
      </x:c>
      <x:c r="B1" s="9" t="str">
        <x:v>Notatka</x:v>
      </x:c>
      <x:c r="C1" s="10"/>
      <x:c r="D1" s="10"/>
      <x:c r="E1" s="10"/>
      <x:c r="F1" s="10"/>
      <x:c r="G1" s="10"/>
      <x:c r="H1" s="10"/>
      <x:c r="I1" s="10"/>
      <x:c r="J1" s="10"/>
      <x:c r="K1" s="10"/>
      <x:c r="L1" s="10"/>
      <x:c r="M1" s="10"/>
      <x:c r="N1" s="10"/>
      <x:c r="O1" s="10"/>
      <x:c r="P1" s="10"/>
      <x:c r="Q1" s="10"/>
      <x:c r="R1" s="10"/>
      <x:c r="S1" s="10"/>
      <x:c r="T1" s="10"/>
      <x:c r="U1" s="10"/>
      <x:c r="V1" s="10"/>
      <x:c r="W1" s="10"/>
    </x:row>
    <x:row r="2">
      <x:c r="A2" t="str">
        <x:v>Źródło danych startowych</x:v>
      </x:c>
      <x:c r="B2" t="str">
        <x:v>Publiczne wyniki katalogów branżowych i wyszukiwarek. Przed wysyłką warto potwierdzić dane w Google Places.</x:v>
      </x:c>
    </x:row>
    <x:row r="3">
      <x:c r="A3" t="str">
        <x:v>Google Places API</x:v>
      </x:c>
      <x:c r="B3" t="str">
        <x:v>Skrypt scripts/fetch-ochota-places.mjs używa Places API Text Search i pola X-Goog-FieldMask.</x:v>
      </x:c>
    </x:row>
    <x:row r="4">
      <x:c r="A4" t="str">
        <x:v>Dlaczego Text Search</x:v>
      </x:c>
      <x:c r="B4" t="str">
        <x:v>W aktualnych typach Places API nie ma osobnego filtra currency_exchange, więc używamy fraz tekstowych.</x:v>
      </x:c>
    </x:row>
    <x:row r="5">
      <x:c r="A5" t="str">
        <x:v>Status wysyłki</x:v>
      </x:c>
      <x:c r="B5" t="str">
        <x:v>Edytuj kolumny Status wysyłki i Data wysyłki w arkuszu Leady_Ochota.</x:v>
      </x:c>
    </x:row>
    <x:row r="6">
      <x:c r="A6" t="str">
        <x:v>Baza demo</x:v>
      </x:c>
      <x:c r="B6" t="str">
        <x:v>https://Oskar-Urban.github.io/Kantor-Uniwersalny/</x:v>
      </x:c>
    </x:row>
  </x:sheetData>
  <x:pageMargins left="0.7" right="0.7" top="0.75" bottom="0.75" header="0.3" footer="0.3"/>
</x:worksheet>
</file>